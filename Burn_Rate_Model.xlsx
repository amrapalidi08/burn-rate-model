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apalidixit/"/>
    </mc:Choice>
  </mc:AlternateContent>
  <xr:revisionPtr revIDLastSave="0" documentId="13_ncr:1_{E65C3CAA-9571-2346-BF8A-DCCCE010F169}" xr6:coauthVersionLast="47" xr6:coauthVersionMax="47" xr10:uidLastSave="{00000000-0000-0000-0000-000000000000}"/>
  <bookViews>
    <workbookView xWindow="11820" yWindow="700" windowWidth="17740" windowHeight="17520" activeTab="2" xr2:uid="{63953CC8-057B-1C4E-9C58-56B708197456}"/>
  </bookViews>
  <sheets>
    <sheet name="Budget" sheetId="3" r:id="rId1"/>
    <sheet name="Actuals" sheetId="2" r:id="rId2"/>
    <sheet name="Burn_Calc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G2" i="3"/>
  <c r="G3" i="3"/>
  <c r="G4" i="3"/>
  <c r="G5" i="3"/>
  <c r="G6" i="3"/>
  <c r="C7" i="1"/>
  <c r="C4" i="1"/>
  <c r="C3" i="1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C8" i="1" s="1"/>
  <c r="B4" i="1"/>
  <c r="B12" i="1" s="1"/>
  <c r="B3" i="1"/>
  <c r="B7" i="1"/>
  <c r="C6" i="1" l="1"/>
  <c r="C9" i="1"/>
  <c r="C5" i="1"/>
  <c r="B8" i="1"/>
  <c r="B9" i="1" s="1"/>
  <c r="B6" i="1"/>
  <c r="B5" i="1"/>
  <c r="B13" i="1" s="1"/>
</calcChain>
</file>

<file path=xl/sharedStrings.xml><?xml version="1.0" encoding="utf-8"?>
<sst xmlns="http://schemas.openxmlformats.org/spreadsheetml/2006/main" count="88" uniqueCount="34">
  <si>
    <t>Client_Name</t>
  </si>
  <si>
    <t>Project_ID</t>
  </si>
  <si>
    <t>Project_Name</t>
  </si>
  <si>
    <t>Role</t>
  </si>
  <si>
    <t>Budget_Hours</t>
  </si>
  <si>
    <t>Hourly_Rate</t>
  </si>
  <si>
    <t>Budget_Fee</t>
  </si>
  <si>
    <t>Alpha Bank</t>
  </si>
  <si>
    <t>AB001</t>
  </si>
  <si>
    <t>2025 Brand Refresh</t>
  </si>
  <si>
    <t>Sr Designer</t>
  </si>
  <si>
    <t>Jr Designer</t>
  </si>
  <si>
    <t>Account Manager</t>
  </si>
  <si>
    <t>Beta Telecom</t>
  </si>
  <si>
    <t>BT010</t>
  </si>
  <si>
    <t>Website Redesign</t>
  </si>
  <si>
    <t>Developer</t>
  </si>
  <si>
    <t>Date</t>
  </si>
  <si>
    <t>Employee_Name</t>
  </si>
  <si>
    <t>Hours</t>
  </si>
  <si>
    <t>Jane Smith</t>
  </si>
  <si>
    <t>John Lee</t>
  </si>
  <si>
    <t>Sara Khan</t>
  </si>
  <si>
    <t>Alex Kim</t>
  </si>
  <si>
    <t>Project _ID</t>
  </si>
  <si>
    <t>Total_Budget_Hours</t>
  </si>
  <si>
    <t>Total_Actual_Hours</t>
  </si>
  <si>
    <t>Hours_Remaining</t>
  </si>
  <si>
    <t>Burn_Percentage</t>
  </si>
  <si>
    <t>Actual_Fee_Used</t>
  </si>
  <si>
    <t>Fee_Remaining</t>
  </si>
  <si>
    <t>Fee_Used</t>
  </si>
  <si>
    <t>Hours Used</t>
  </si>
  <si>
    <t>Hours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</si>
</sst>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0.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Cambria Math"/>
      <family val="1"/>
    </font>
    <font>
      <sz val="20"/>
      <color theme="1"/>
      <name val="Cambria Math"/>
      <family val="1"/>
    </font>
    <font>
      <b/>
      <sz val="18"/>
      <color theme="1"/>
      <name val="Cambria Math"/>
      <family val="1"/>
    </font>
    <font>
      <sz val="20"/>
      <color rgb="FF000000"/>
      <name val="Cambria Math"/>
      <family val="1"/>
    </font>
    <font>
      <b/>
      <sz val="20"/>
      <color theme="1"/>
      <name val="Cambria Math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9" fontId="2" fillId="0" borderId="0" xfId="1" applyFont="1"/>
    <xf numFmtId="166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166" fontId="3" fillId="0" borderId="0" xfId="0" applyNumberFormat="1" applyFont="1"/>
    <xf numFmtId="168" fontId="2" fillId="0" borderId="0" xfId="0" applyNumberFormat="1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</dxf>
    <dxf>
      <font>
        <strike val="0"/>
        <outline val="0"/>
        <shadow val="0"/>
        <u val="none"/>
        <vertAlign val="baseline"/>
        <sz val="20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mbria Math"/>
        <family val="1"/>
        <scheme val="none"/>
      </font>
      <numFmt numFmtId="19" formatCode="m/d/yy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 Math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 Math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Burn: Hours Used vs Hours Remaining</a:t>
            </a:r>
          </a:p>
        </c:rich>
      </c:tx>
      <c:layout>
        <c:manualLayout>
          <c:xMode val="edge"/>
          <c:yMode val="edge"/>
          <c:x val="0.1608401137357830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3C-AA44-A84C-5882C81210E2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3C-AA44-A84C-5882C81210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Burn_Calcs!$A$12:$A$13</c:f>
              <c:strCache>
                <c:ptCount val="2"/>
                <c:pt idx="0">
                  <c:v>Hours Used</c:v>
                </c:pt>
                <c:pt idx="1">
                  <c:v>Hours Remaining</c:v>
                </c:pt>
              </c:strCache>
            </c:strRef>
          </c:cat>
          <c:val>
            <c:numRef>
              <c:f>Burn_Calcs!$B$12:$B$13</c:f>
              <c:numCache>
                <c:formatCode>0.0</c:formatCode>
                <c:ptCount val="2"/>
                <c:pt idx="0">
                  <c:v>40</c:v>
                </c:pt>
                <c:pt idx="1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C-AA44-A84C-5882C81210E2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Burn_Calcs!$A$12:$A$13</c:f>
              <c:strCache>
                <c:ptCount val="2"/>
                <c:pt idx="0">
                  <c:v>Hours Used</c:v>
                </c:pt>
                <c:pt idx="1">
                  <c:v>Hours Remaining</c:v>
                </c:pt>
              </c:strCache>
            </c:strRef>
          </c:cat>
          <c:val>
            <c:numRef>
              <c:f>Burn_Calcs!$C$12:$C$13</c:f>
              <c:numCache>
                <c:formatCode>0.0</c:formatCode>
                <c:ptCount val="2"/>
                <c:pt idx="0">
                  <c:v>21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3C-AA44-A84C-5882C81210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577137727"/>
        <c:axId val="1577125631"/>
      </c:barChart>
      <c:catAx>
        <c:axId val="157713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25631"/>
        <c:crosses val="autoZero"/>
        <c:auto val="1"/>
        <c:lblAlgn val="ctr"/>
        <c:lblOffset val="100"/>
        <c:noMultiLvlLbl val="0"/>
      </c:catAx>
      <c:valAx>
        <c:axId val="15771256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3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4</xdr:row>
      <xdr:rowOff>25400</xdr:rowOff>
    </xdr:from>
    <xdr:to>
      <xdr:col>7</xdr:col>
      <xdr:colOff>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8CB26-72B9-CEAF-1C2B-CAF40FD5C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3B1D8-2BA9-AC44-A64A-246A8169AD9B}" name="Table1" displayName="Table1" ref="A1:G1048576" totalsRowShown="0" headerRowDxfId="1" dataDxfId="0">
  <autoFilter ref="A1:G1048576" xr:uid="{9823B1D8-2BA9-AC44-A64A-246A8169AD9B}"/>
  <tableColumns count="7">
    <tableColumn id="1" xr3:uid="{044D42C7-954A-4141-9A01-5FA0CC40F68C}" name="Client_Name" dataDxfId="8"/>
    <tableColumn id="2" xr3:uid="{11295487-3BE5-6643-B2EF-E1310AE61E28}" name="Project_ID" dataDxfId="7"/>
    <tableColumn id="3" xr3:uid="{A8BF005B-A3DE-7D4E-94E6-7CA3484DBE33}" name="Project_Name" dataDxfId="6"/>
    <tableColumn id="4" xr3:uid="{76B61223-61D3-4C45-8FC2-3B8FAE4B708E}" name="Role" dataDxfId="5"/>
    <tableColumn id="5" xr3:uid="{E0872179-B2AD-104D-A195-72A0B34E11DA}" name="Budget_Hours" dataDxfId="4"/>
    <tableColumn id="6" xr3:uid="{BB335382-A94C-9F41-BF48-460505CD83FE}" name="Hourly_Rate" dataDxfId="3"/>
    <tableColumn id="7" xr3:uid="{5AE48F9C-CC46-3945-ACDC-4C1CCA6D4185}" name="Budget_Fee" dataDxfId="2">
      <calculatedColumnFormula>Table1[[#This Row],[Budget_Hours]]*Table1[[#This Row],[Hourly_Rate]]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F021C-5C0B-884B-B7AD-73024F025E16}" name="Table3" displayName="Table3" ref="A1:H10" headerRowDxfId="11" dataDxfId="9" totalsRowDxfId="10">
  <autoFilter ref="A1:H10" xr:uid="{E83F021C-5C0B-884B-B7AD-73024F025E16}"/>
  <tableColumns count="8">
    <tableColumn id="1" xr3:uid="{75E73AF6-2969-AE44-ADC4-72232FC7D003}" name="Date" totalsRowLabel="Total" dataDxfId="19" totalsRowDxfId="33"/>
    <tableColumn id="2" xr3:uid="{C6CE369C-C34F-0A42-89CD-BD33194CC5AA}" name="Employee_Name" dataDxfId="18" totalsRowDxfId="32"/>
    <tableColumn id="3" xr3:uid="{1A09B31B-E79A-0A4D-98AD-46BE5AB8393F}" name="Client_Name" dataDxfId="17" totalsRowDxfId="31"/>
    <tableColumn id="4" xr3:uid="{19416ABB-FBE6-FD44-893A-35271EFD81F1}" name="Project_ID" dataDxfId="16" totalsRowDxfId="30"/>
    <tableColumn id="5" xr3:uid="{63B2CFB6-97D5-AF49-94F9-E06A0D53F8BE}" name="Role" dataDxfId="15" totalsRowDxfId="29"/>
    <tableColumn id="6" xr3:uid="{FC96BF81-6103-DD4A-92ED-26CB0D989FD5}" name="Hours" totalsRowFunction="sum" dataDxfId="14" totalsRowDxfId="28"/>
    <tableColumn id="7" xr3:uid="{D32D4580-53CC-B842-8614-12E5D515EC39}" name="Hourly_Rate" dataDxfId="13" totalsRowDxfId="27">
      <calculatedColumnFormula>VLOOKUP(E2,Budget!D:F,3,)</calculatedColumnFormula>
    </tableColumn>
    <tableColumn id="8" xr3:uid="{FCDEBA43-3499-9646-BD4C-7C4B5177FF1F}" name="Fee_Used" dataDxfId="12" totalsRowDxfId="26">
      <calculatedColumnFormula>Table3[[#This Row],[Hours]]*Table3[[#This Row],[Hourly_Rate]]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E81AD1-EA9C-9B48-B456-43075D89455F}" name="Table4" displayName="Table4" ref="A1:C1048576" totalsRowShown="0" headerRowDxfId="21" dataDxfId="22">
  <tableColumns count="3">
    <tableColumn id="1" xr3:uid="{255D7D5F-E91D-E641-8E5C-F9172E090141}" name="Project _ID" dataDxfId="25"/>
    <tableColumn id="2" xr3:uid="{B7CDAF98-C6BD-7C43-ABAA-02CE82AB6A99}" name="AB001" dataDxfId="24"/>
    <tableColumn id="3" xr3:uid="{72550451-1D60-D24E-BE12-80CB21E5DD15}" name="BT010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7E91-49B6-F440-876C-77E78C49AC59}">
  <dimension ref="A1:G7"/>
  <sheetViews>
    <sheetView workbookViewId="0">
      <selection activeCell="E13" sqref="E13"/>
    </sheetView>
  </sheetViews>
  <sheetFormatPr baseColWidth="10" defaultRowHeight="25" x14ac:dyDescent="0.25"/>
  <cols>
    <col min="1" max="1" width="20.33203125" style="2" bestFit="1" customWidth="1"/>
    <col min="2" max="2" width="17.33203125" style="2" bestFit="1" customWidth="1"/>
    <col min="3" max="3" width="27.6640625" style="2" bestFit="1" customWidth="1"/>
    <col min="4" max="4" width="24.33203125" style="2" bestFit="1" customWidth="1"/>
    <col min="5" max="5" width="22.33203125" style="2" bestFit="1" customWidth="1"/>
    <col min="6" max="6" width="20" style="11" bestFit="1" customWidth="1"/>
    <col min="7" max="7" width="19.1640625" style="11" bestFit="1" customWidth="1"/>
    <col min="8" max="16384" width="10.83203125" style="2"/>
  </cols>
  <sheetData>
    <row r="1" spans="1:7" x14ac:dyDescent="0.25">
      <c r="A1" s="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A2" s="8" t="s">
        <v>7</v>
      </c>
      <c r="B2" s="8" t="s">
        <v>8</v>
      </c>
      <c r="C2" s="8" t="s">
        <v>9</v>
      </c>
      <c r="D2" s="8" t="s">
        <v>10</v>
      </c>
      <c r="E2" s="8">
        <v>120</v>
      </c>
      <c r="F2" s="9">
        <v>130</v>
      </c>
      <c r="G2" s="11">
        <f>Table1[[#This Row],[Budget_Hours]]*Table1[[#This Row],[Hourly_Rate]]</f>
        <v>15600</v>
      </c>
    </row>
    <row r="3" spans="1:7" x14ac:dyDescent="0.25">
      <c r="A3" s="8" t="s">
        <v>7</v>
      </c>
      <c r="B3" s="8" t="s">
        <v>8</v>
      </c>
      <c r="C3" s="8" t="s">
        <v>9</v>
      </c>
      <c r="D3" s="8" t="s">
        <v>11</v>
      </c>
      <c r="E3" s="8">
        <v>160</v>
      </c>
      <c r="F3" s="9">
        <v>90</v>
      </c>
      <c r="G3" s="11">
        <f>Table1[[#This Row],[Budget_Hours]]*Table1[[#This Row],[Hourly_Rate]]</f>
        <v>14400</v>
      </c>
    </row>
    <row r="4" spans="1:7" x14ac:dyDescent="0.25">
      <c r="A4" s="8" t="s">
        <v>7</v>
      </c>
      <c r="B4" s="8" t="s">
        <v>8</v>
      </c>
      <c r="C4" s="8" t="s">
        <v>9</v>
      </c>
      <c r="D4" s="8" t="s">
        <v>12</v>
      </c>
      <c r="E4" s="8">
        <v>80</v>
      </c>
      <c r="F4" s="9">
        <v>110</v>
      </c>
      <c r="G4" s="11">
        <f>Table1[[#This Row],[Budget_Hours]]*Table1[[#This Row],[Hourly_Rate]]</f>
        <v>8800</v>
      </c>
    </row>
    <row r="5" spans="1:7" x14ac:dyDescent="0.25">
      <c r="A5" s="8" t="s">
        <v>13</v>
      </c>
      <c r="B5" s="8" t="s">
        <v>14</v>
      </c>
      <c r="C5" s="8" t="s">
        <v>15</v>
      </c>
      <c r="D5" s="8" t="s">
        <v>10</v>
      </c>
      <c r="E5" s="8">
        <v>100</v>
      </c>
      <c r="F5" s="9">
        <v>130</v>
      </c>
      <c r="G5" s="11">
        <f>Table1[[#This Row],[Budget_Hours]]*Table1[[#This Row],[Hourly_Rate]]</f>
        <v>13000</v>
      </c>
    </row>
    <row r="6" spans="1:7" x14ac:dyDescent="0.25">
      <c r="A6" s="8" t="s">
        <v>13</v>
      </c>
      <c r="B6" s="8" t="s">
        <v>14</v>
      </c>
      <c r="C6" s="8" t="s">
        <v>15</v>
      </c>
      <c r="D6" s="8" t="s">
        <v>16</v>
      </c>
      <c r="E6" s="8">
        <v>180</v>
      </c>
      <c r="F6" s="9">
        <v>120</v>
      </c>
      <c r="G6" s="11">
        <f>Table1[[#This Row],[Budget_Hours]]*Table1[[#This Row],[Hourly_Rate]]</f>
        <v>21600</v>
      </c>
    </row>
    <row r="7" spans="1:7" x14ac:dyDescent="0.25">
      <c r="A7" s="8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0DCF-8714-7344-B475-0016EBC0B1C9}">
  <dimension ref="A1:H10"/>
  <sheetViews>
    <sheetView workbookViewId="0">
      <selection activeCell="B11" sqref="B11"/>
    </sheetView>
  </sheetViews>
  <sheetFormatPr baseColWidth="10" defaultRowHeight="25" x14ac:dyDescent="0.25"/>
  <cols>
    <col min="1" max="1" width="12.1640625" style="2" bestFit="1" customWidth="1"/>
    <col min="2" max="2" width="28.33203125" style="2" bestFit="1" customWidth="1"/>
    <col min="3" max="3" width="22.1640625" style="2" bestFit="1" customWidth="1"/>
    <col min="4" max="4" width="18.5" style="2" bestFit="1" customWidth="1"/>
    <col min="5" max="5" width="25.1640625" style="2" bestFit="1" customWidth="1"/>
    <col min="6" max="6" width="13" style="2" bestFit="1" customWidth="1"/>
    <col min="7" max="7" width="21.83203125" style="1" bestFit="1" customWidth="1"/>
    <col min="8" max="8" width="17.6640625" style="1" bestFit="1" customWidth="1"/>
    <col min="9" max="16384" width="10.83203125" style="1"/>
  </cols>
  <sheetData>
    <row r="1" spans="1:8" x14ac:dyDescent="0.25">
      <c r="A1" s="2" t="s">
        <v>17</v>
      </c>
      <c r="B1" s="2" t="s">
        <v>18</v>
      </c>
      <c r="C1" s="2" t="s">
        <v>0</v>
      </c>
      <c r="D1" s="2" t="s">
        <v>1</v>
      </c>
      <c r="E1" s="2" t="s">
        <v>3</v>
      </c>
      <c r="F1" s="2" t="s">
        <v>19</v>
      </c>
      <c r="G1" s="2" t="s">
        <v>5</v>
      </c>
      <c r="H1" s="2" t="s">
        <v>31</v>
      </c>
    </row>
    <row r="2" spans="1:8" x14ac:dyDescent="0.25">
      <c r="A2" s="7">
        <v>45659</v>
      </c>
      <c r="B2" s="8" t="s">
        <v>20</v>
      </c>
      <c r="C2" s="8" t="s">
        <v>7</v>
      </c>
      <c r="D2" s="8" t="s">
        <v>8</v>
      </c>
      <c r="E2" s="8" t="s">
        <v>10</v>
      </c>
      <c r="F2" s="8">
        <v>6.5</v>
      </c>
      <c r="G2" s="9">
        <f>VLOOKUP(E2,Budget!D:F,3,)</f>
        <v>130</v>
      </c>
      <c r="H2" s="9">
        <f>Table3[[#This Row],[Hours]]*Table3[[#This Row],[Hourly_Rate]]</f>
        <v>845</v>
      </c>
    </row>
    <row r="3" spans="1:8" x14ac:dyDescent="0.25">
      <c r="A3" s="7">
        <v>45660</v>
      </c>
      <c r="B3" s="8" t="s">
        <v>20</v>
      </c>
      <c r="C3" s="8" t="s">
        <v>7</v>
      </c>
      <c r="D3" s="8" t="s">
        <v>8</v>
      </c>
      <c r="E3" s="8" t="s">
        <v>10</v>
      </c>
      <c r="F3" s="8">
        <v>7</v>
      </c>
      <c r="G3" s="9">
        <f>VLOOKUP(E3,Budget!D:F,3,)</f>
        <v>130</v>
      </c>
      <c r="H3" s="9">
        <f>Table3[[#This Row],[Hours]]*Table3[[#This Row],[Hourly_Rate]]</f>
        <v>910</v>
      </c>
    </row>
    <row r="4" spans="1:8" x14ac:dyDescent="0.25">
      <c r="A4" s="7">
        <v>45661</v>
      </c>
      <c r="B4" s="8" t="s">
        <v>21</v>
      </c>
      <c r="C4" s="8" t="s">
        <v>7</v>
      </c>
      <c r="D4" s="8" t="s">
        <v>8</v>
      </c>
      <c r="E4" s="8" t="s">
        <v>11</v>
      </c>
      <c r="F4" s="8">
        <v>8</v>
      </c>
      <c r="G4" s="9">
        <f>VLOOKUP(E4,Budget!D:F,3,)</f>
        <v>90</v>
      </c>
      <c r="H4" s="9">
        <f>Table3[[#This Row],[Hours]]*Table3[[#This Row],[Hourly_Rate]]</f>
        <v>720</v>
      </c>
    </row>
    <row r="5" spans="1:8" x14ac:dyDescent="0.25">
      <c r="A5" s="7">
        <v>45662</v>
      </c>
      <c r="B5" s="8" t="s">
        <v>21</v>
      </c>
      <c r="C5" s="8" t="s">
        <v>7</v>
      </c>
      <c r="D5" s="8" t="s">
        <v>8</v>
      </c>
      <c r="E5" s="8" t="s">
        <v>11</v>
      </c>
      <c r="F5" s="8">
        <v>7.5</v>
      </c>
      <c r="G5" s="9">
        <f>VLOOKUP(E5,Budget!D:F,3,)</f>
        <v>90</v>
      </c>
      <c r="H5" s="9">
        <f>Table3[[#This Row],[Hours]]*Table3[[#This Row],[Hourly_Rate]]</f>
        <v>675</v>
      </c>
    </row>
    <row r="6" spans="1:8" x14ac:dyDescent="0.25">
      <c r="A6" s="7">
        <v>45663</v>
      </c>
      <c r="B6" s="8" t="s">
        <v>22</v>
      </c>
      <c r="C6" s="8" t="s">
        <v>7</v>
      </c>
      <c r="D6" s="8" t="s">
        <v>8</v>
      </c>
      <c r="E6" s="8" t="s">
        <v>12</v>
      </c>
      <c r="F6" s="8">
        <v>5</v>
      </c>
      <c r="G6" s="9">
        <f>VLOOKUP(E6,Budget!D:F,3,)</f>
        <v>110</v>
      </c>
      <c r="H6" s="9">
        <f>Table3[[#This Row],[Hours]]*Table3[[#This Row],[Hourly_Rate]]</f>
        <v>550</v>
      </c>
    </row>
    <row r="7" spans="1:8" x14ac:dyDescent="0.25">
      <c r="A7" s="7">
        <v>45664</v>
      </c>
      <c r="B7" s="8" t="s">
        <v>22</v>
      </c>
      <c r="C7" s="8" t="s">
        <v>7</v>
      </c>
      <c r="D7" s="8" t="s">
        <v>8</v>
      </c>
      <c r="E7" s="8" t="s">
        <v>12</v>
      </c>
      <c r="F7" s="8">
        <v>6</v>
      </c>
      <c r="G7" s="9">
        <f>VLOOKUP(E7,Budget!D:F,3,)</f>
        <v>110</v>
      </c>
      <c r="H7" s="9">
        <f>Table3[[#This Row],[Hours]]*Table3[[#This Row],[Hourly_Rate]]</f>
        <v>660</v>
      </c>
    </row>
    <row r="8" spans="1:8" x14ac:dyDescent="0.25">
      <c r="A8" s="7">
        <v>45660</v>
      </c>
      <c r="B8" s="8" t="s">
        <v>20</v>
      </c>
      <c r="C8" s="8" t="s">
        <v>13</v>
      </c>
      <c r="D8" s="8" t="s">
        <v>14</v>
      </c>
      <c r="E8" s="8" t="s">
        <v>10</v>
      </c>
      <c r="F8" s="8">
        <v>5.5</v>
      </c>
      <c r="G8" s="9">
        <f>VLOOKUP(E8,Budget!D:F,3,)</f>
        <v>130</v>
      </c>
      <c r="H8" s="9">
        <f>Table3[[#This Row],[Hours]]*Table3[[#This Row],[Hourly_Rate]]</f>
        <v>715</v>
      </c>
    </row>
    <row r="9" spans="1:8" x14ac:dyDescent="0.25">
      <c r="A9" s="7">
        <v>45661</v>
      </c>
      <c r="B9" s="8" t="s">
        <v>23</v>
      </c>
      <c r="C9" s="8" t="s">
        <v>13</v>
      </c>
      <c r="D9" s="8" t="s">
        <v>14</v>
      </c>
      <c r="E9" s="8" t="s">
        <v>16</v>
      </c>
      <c r="F9" s="8">
        <v>7</v>
      </c>
      <c r="G9" s="9">
        <f>VLOOKUP(E9,Budget!D:F,3,)</f>
        <v>120</v>
      </c>
      <c r="H9" s="9">
        <f>Table3[[#This Row],[Hours]]*Table3[[#This Row],[Hourly_Rate]]</f>
        <v>840</v>
      </c>
    </row>
    <row r="10" spans="1:8" x14ac:dyDescent="0.25">
      <c r="A10" s="7">
        <v>45662</v>
      </c>
      <c r="B10" s="8" t="s">
        <v>23</v>
      </c>
      <c r="C10" s="8" t="s">
        <v>13</v>
      </c>
      <c r="D10" s="8" t="s">
        <v>14</v>
      </c>
      <c r="E10" s="8" t="s">
        <v>16</v>
      </c>
      <c r="F10" s="8">
        <v>8.5</v>
      </c>
      <c r="G10" s="9">
        <f>VLOOKUP(E10,Budget!D:F,3,)</f>
        <v>120</v>
      </c>
      <c r="H10" s="9">
        <f>Table3[[#This Row],[Hours]]*Table3[[#This Row],[Hourly_Rate]]</f>
        <v>1020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4655-4ED1-C241-B8E3-894690C58D85}">
  <dimension ref="A1:C13"/>
  <sheetViews>
    <sheetView tabSelected="1" workbookViewId="0">
      <selection activeCell="I6" sqref="I6"/>
    </sheetView>
  </sheetViews>
  <sheetFormatPr baseColWidth="10" defaultRowHeight="23" x14ac:dyDescent="0.25"/>
  <cols>
    <col min="1" max="1" width="28.1640625" style="1" bestFit="1" customWidth="1"/>
    <col min="2" max="2" width="17.83203125" style="1" bestFit="1" customWidth="1"/>
    <col min="3" max="3" width="28.1640625" style="1" bestFit="1" customWidth="1"/>
    <col min="4" max="4" width="27.1640625" style="1" bestFit="1" customWidth="1"/>
    <col min="5" max="5" width="24.6640625" style="1" bestFit="1" customWidth="1"/>
    <col min="6" max="6" width="23.6640625" style="1" bestFit="1" customWidth="1"/>
    <col min="7" max="7" width="16.6640625" style="1" bestFit="1" customWidth="1"/>
    <col min="8" max="8" width="23.5" style="1" bestFit="1" customWidth="1"/>
    <col min="9" max="9" width="21.33203125" style="1" bestFit="1" customWidth="1"/>
    <col min="10" max="16384" width="10.83203125" style="1"/>
  </cols>
  <sheetData>
    <row r="1" spans="1:3" x14ac:dyDescent="0.25">
      <c r="A1" s="6" t="s">
        <v>24</v>
      </c>
      <c r="B1" s="6" t="s">
        <v>8</v>
      </c>
      <c r="C1" s="6" t="s">
        <v>14</v>
      </c>
    </row>
    <row r="2" spans="1:3" x14ac:dyDescent="0.25">
      <c r="A2" s="5" t="s">
        <v>0</v>
      </c>
      <c r="B2" s="1" t="s">
        <v>7</v>
      </c>
      <c r="C2" s="1" t="s">
        <v>13</v>
      </c>
    </row>
    <row r="3" spans="1:3" x14ac:dyDescent="0.25">
      <c r="A3" s="5" t="s">
        <v>25</v>
      </c>
      <c r="B3" s="12">
        <f>SUMIF(Budget!B:B,B1,Budget!E:E)</f>
        <v>360</v>
      </c>
      <c r="C3" s="12">
        <f>SUMIF(Budget!B:B,C1,Budget!F:F)</f>
        <v>250</v>
      </c>
    </row>
    <row r="4" spans="1:3" x14ac:dyDescent="0.25">
      <c r="A4" s="5" t="s">
        <v>26</v>
      </c>
      <c r="B4" s="12">
        <f>SUMIF(Actuals!D:D,B1,Actuals!F:F)</f>
        <v>40</v>
      </c>
      <c r="C4" s="12">
        <f>SUMIF(Actuals!D:D,C1,Actuals!F:F)</f>
        <v>21</v>
      </c>
    </row>
    <row r="5" spans="1:3" x14ac:dyDescent="0.25">
      <c r="A5" s="5" t="s">
        <v>27</v>
      </c>
      <c r="B5" s="12">
        <f>B3-B4</f>
        <v>320</v>
      </c>
      <c r="C5" s="12">
        <f>C3-C4</f>
        <v>229</v>
      </c>
    </row>
    <row r="6" spans="1:3" x14ac:dyDescent="0.25">
      <c r="A6" s="5" t="s">
        <v>28</v>
      </c>
      <c r="B6" s="3">
        <f>B4/B3</f>
        <v>0.1111111111111111</v>
      </c>
      <c r="C6" s="3">
        <f>C4/C3</f>
        <v>8.4000000000000005E-2</v>
      </c>
    </row>
    <row r="7" spans="1:3" x14ac:dyDescent="0.25">
      <c r="A7" s="5" t="s">
        <v>6</v>
      </c>
      <c r="B7" s="4">
        <f>SUMIF(Budget!B:B,B1,Budget!G:G)</f>
        <v>38800</v>
      </c>
      <c r="C7" s="4">
        <f>SUMIF(Table1[[#All],[Project_ID]],C1,Table1[[#All],[Budget_Fee]])</f>
        <v>34600</v>
      </c>
    </row>
    <row r="8" spans="1:3" x14ac:dyDescent="0.25">
      <c r="A8" s="5" t="s">
        <v>29</v>
      </c>
      <c r="B8" s="4">
        <f>SUMIF(Actuals!D:D,B1,Actuals!H:H)</f>
        <v>4360</v>
      </c>
      <c r="C8" s="4">
        <f>SUMIF(Actuals!D:D,C1,Actuals!H:H)</f>
        <v>2575</v>
      </c>
    </row>
    <row r="9" spans="1:3" x14ac:dyDescent="0.25">
      <c r="A9" s="5" t="s">
        <v>30</v>
      </c>
      <c r="B9" s="4">
        <f>B7-B8</f>
        <v>34440</v>
      </c>
      <c r="C9" s="4">
        <f>C7-C8</f>
        <v>32025</v>
      </c>
    </row>
    <row r="11" spans="1:3" x14ac:dyDescent="0.25">
      <c r="B11" s="13" t="s">
        <v>8</v>
      </c>
      <c r="C11" s="14" t="s">
        <v>14</v>
      </c>
    </row>
    <row r="12" spans="1:3" x14ac:dyDescent="0.25">
      <c r="A12" s="5" t="s">
        <v>32</v>
      </c>
      <c r="B12" s="12">
        <f>B4</f>
        <v>40</v>
      </c>
      <c r="C12" s="12">
        <f>C4</f>
        <v>21</v>
      </c>
    </row>
    <row r="13" spans="1:3" x14ac:dyDescent="0.25">
      <c r="A13" s="5" t="s">
        <v>33</v>
      </c>
      <c r="B13" s="12">
        <f>B5</f>
        <v>320</v>
      </c>
      <c r="C13" s="12">
        <f>C5</f>
        <v>229</v>
      </c>
    </row>
  </sheetData>
  <conditionalFormatting sqref="B6:C6">
    <cfRule type="cellIs" dxfId="20" priority="1" operator="greaterThan">
      <formula>80</formula>
    </cfRule>
  </conditionalFormatting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Actuals</vt:lpstr>
      <vt:lpstr>Burn_Calcs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Birds</dc:creator>
  <cp:lastModifiedBy>White Birds</cp:lastModifiedBy>
  <dcterms:created xsi:type="dcterms:W3CDTF">2025-12-08T18:26:34Z</dcterms:created>
  <dcterms:modified xsi:type="dcterms:W3CDTF">2025-12-11T19:20:15Z</dcterms:modified>
</cp:coreProperties>
</file>